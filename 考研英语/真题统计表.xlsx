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Obsidian仓库\考研\考研英语\"/>
    </mc:Choice>
  </mc:AlternateContent>
  <xr:revisionPtr revIDLastSave="0" documentId="13_ncr:1_{271DAD85-408F-41BB-8A87-BE332D7E6066}" xr6:coauthVersionLast="47" xr6:coauthVersionMax="47" xr10:uidLastSave="{00000000-0000-0000-0000-000000000000}"/>
  <bookViews>
    <workbookView xWindow="-110" yWindow="-110" windowWidth="25820" windowHeight="13900" activeTab="1" xr2:uid="{00000000-000D-0000-FFFF-FFFF00000000}"/>
  </bookViews>
  <sheets>
    <sheet name="1.看板" sheetId="1" r:id="rId1"/>
    <sheet name="2.错题归因" sheetId="2" r:id="rId2"/>
    <sheet name="3.自动数据分析图表"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 l="1"/>
  <c r="I6" i="1"/>
  <c r="I4" i="1"/>
  <c r="I3" i="1"/>
  <c r="I2" i="1"/>
</calcChain>
</file>

<file path=xl/sharedStrings.xml><?xml version="1.0" encoding="utf-8"?>
<sst xmlns="http://schemas.openxmlformats.org/spreadsheetml/2006/main" count="109" uniqueCount="87">
  <si>
    <t>刷题日期</t>
  </si>
  <si>
    <t>试卷年份</t>
  </si>
  <si>
    <t>刷题轮数</t>
  </si>
  <si>
    <t>Text 1错题</t>
  </si>
  <si>
    <t>Text 2错题</t>
  </si>
  <si>
    <t>Text 3错题</t>
  </si>
  <si>
    <t>Text 4错题</t>
  </si>
  <si>
    <t>总错题数</t>
  </si>
  <si>
    <t>正确率</t>
  </si>
  <si>
    <t>总用时(分钟)</t>
  </si>
  <si>
    <t>备注/心理状态</t>
  </si>
  <si>
    <t>一刷</t>
  </si>
  <si>
    <t>T3太抽象了，心态崩了</t>
  </si>
  <si>
    <t>逻辑顺畅，时间控制得好</t>
  </si>
  <si>
    <t>2012年</t>
  </si>
  <si>
    <t>生词太多，严重超时</t>
  </si>
  <si>
    <t>题型</t>
  </si>
  <si>
    <t>B</t>
  </si>
  <si>
    <t>C</t>
  </si>
  <si>
    <t>细节题</t>
  </si>
  <si>
    <t>选项偷换概念</t>
  </si>
  <si>
    <t>A</t>
  </si>
  <si>
    <t>D</t>
  </si>
  <si>
    <t>作者态度题</t>
  </si>
  <si>
    <t>生词不认识</t>
  </si>
  <si>
    <t>过度推断(想太多)</t>
  </si>
  <si>
    <t>【题型错误统计】</t>
  </si>
  <si>
    <t>【核心错误原因统计】</t>
  </si>
  <si>
    <t>错误原因</t>
  </si>
  <si>
    <t>频次</t>
  </si>
  <si>
    <t>主旨大意题</t>
  </si>
  <si>
    <t>过度推断</t>
  </si>
  <si>
    <t>定位找错</t>
  </si>
  <si>
    <t>词汇题</t>
  </si>
  <si>
    <t>长难句切分错误</t>
  </si>
  <si>
    <t>英语一/二</t>
    <phoneticPr fontId="2" type="noConversion"/>
  </si>
  <si>
    <t>英语1</t>
  </si>
  <si>
    <t>英语2</t>
  </si>
  <si>
    <t>一刷</t>
    <phoneticPr fontId="2" type="noConversion"/>
  </si>
  <si>
    <t>2011年</t>
    <phoneticPr fontId="2" type="noConversion"/>
  </si>
  <si>
    <t>2010年</t>
    <phoneticPr fontId="2" type="noConversion"/>
  </si>
  <si>
    <t>推断题</t>
    <phoneticPr fontId="2" type="noConversion"/>
  </si>
  <si>
    <t>错误数量</t>
    <phoneticPr fontId="2" type="noConversion"/>
  </si>
  <si>
    <t>A</t>
    <phoneticPr fontId="2" type="noConversion"/>
  </si>
  <si>
    <t>Text1</t>
  </si>
  <si>
    <t>Text2</t>
  </si>
  <si>
    <t>Text3</t>
  </si>
  <si>
    <t>C</t>
    <phoneticPr fontId="2" type="noConversion"/>
  </si>
  <si>
    <t>2009年</t>
    <phoneticPr fontId="2" type="noConversion"/>
  </si>
  <si>
    <t>不区分</t>
  </si>
  <si>
    <t>将文章中的两个概念混淆</t>
    <phoneticPr fontId="2" type="noConversion"/>
  </si>
  <si>
    <t>B</t>
    <phoneticPr fontId="2" type="noConversion"/>
  </si>
  <si>
    <r>
      <rPr>
        <b/>
        <sz val="14"/>
        <color rgb="FFFFFFFF"/>
        <rFont val="宋体"/>
        <family val="3"/>
        <charset val="134"/>
      </rPr>
      <t>英语一</t>
    </r>
    <r>
      <rPr>
        <b/>
        <sz val="14"/>
        <color rgb="FFFFFFFF"/>
        <rFont val="Times New Roman"/>
        <family val="1"/>
      </rPr>
      <t>/</t>
    </r>
    <r>
      <rPr>
        <b/>
        <sz val="14"/>
        <color rgb="FFFFFFFF"/>
        <rFont val="宋体"/>
        <family val="3"/>
        <charset val="134"/>
      </rPr>
      <t>二</t>
    </r>
    <phoneticPr fontId="2" type="noConversion"/>
  </si>
  <si>
    <r>
      <rPr>
        <b/>
        <sz val="14"/>
        <color rgb="FFFFFFFF"/>
        <rFont val="宋体"/>
        <family val="3"/>
        <charset val="134"/>
      </rPr>
      <t>年份</t>
    </r>
  </si>
  <si>
    <r>
      <rPr>
        <b/>
        <sz val="14"/>
        <color rgb="FFFFFFFF"/>
        <rFont val="宋体"/>
        <family val="3"/>
        <charset val="134"/>
      </rPr>
      <t>篇章</t>
    </r>
  </si>
  <si>
    <r>
      <rPr>
        <b/>
        <sz val="14"/>
        <color rgb="FFFFFFFF"/>
        <rFont val="宋体"/>
        <family val="3"/>
        <charset val="134"/>
      </rPr>
      <t>题号</t>
    </r>
  </si>
  <si>
    <r>
      <rPr>
        <b/>
        <sz val="14"/>
        <color rgb="FFFFFFFF"/>
        <rFont val="宋体"/>
        <family val="3"/>
        <charset val="134"/>
      </rPr>
      <t>错选</t>
    </r>
  </si>
  <si>
    <r>
      <rPr>
        <b/>
        <sz val="14"/>
        <color rgb="FFFFFFFF"/>
        <rFont val="宋体"/>
        <family val="3"/>
        <charset val="134"/>
      </rPr>
      <t>正答</t>
    </r>
  </si>
  <si>
    <r>
      <rPr>
        <b/>
        <sz val="14"/>
        <color rgb="FFFFFFFF"/>
        <rFont val="宋体"/>
        <family val="3"/>
        <charset val="134"/>
      </rPr>
      <t>题型</t>
    </r>
  </si>
  <si>
    <r>
      <rPr>
        <b/>
        <sz val="14"/>
        <color rgb="FFFFFFFF"/>
        <rFont val="宋体"/>
        <family val="3"/>
        <charset val="134"/>
      </rPr>
      <t>核心错误原因</t>
    </r>
  </si>
  <si>
    <r>
      <rPr>
        <b/>
        <sz val="14"/>
        <color rgb="FFFFFFFF"/>
        <rFont val="宋体"/>
        <family val="3"/>
        <charset val="134"/>
      </rPr>
      <t>错题反思（人话描述）</t>
    </r>
  </si>
  <si>
    <r>
      <rPr>
        <b/>
        <sz val="14"/>
        <color rgb="FFFFFFFF"/>
        <rFont val="宋体"/>
        <family val="3"/>
        <charset val="134"/>
      </rPr>
      <t>盲点记录（生词</t>
    </r>
    <r>
      <rPr>
        <b/>
        <sz val="14"/>
        <color rgb="FFFFFFFF"/>
        <rFont val="Times New Roman"/>
        <family val="1"/>
      </rPr>
      <t>/</t>
    </r>
    <r>
      <rPr>
        <b/>
        <sz val="14"/>
        <color rgb="FFFFFFFF"/>
        <rFont val="宋体"/>
        <family val="3"/>
        <charset val="134"/>
      </rPr>
      <t>长难句）</t>
    </r>
  </si>
  <si>
    <r>
      <rPr>
        <b/>
        <sz val="14"/>
        <color rgb="FFFFFFFF"/>
        <rFont val="宋体"/>
        <family val="3"/>
        <charset val="134"/>
      </rPr>
      <t>二刷标记</t>
    </r>
  </si>
  <si>
    <r>
      <rPr>
        <sz val="14"/>
        <color theme="1"/>
        <rFont val="宋体"/>
        <family val="3"/>
        <charset val="134"/>
      </rPr>
      <t>英语</t>
    </r>
    <r>
      <rPr>
        <sz val="14"/>
        <color theme="1"/>
        <rFont val="Times New Roman"/>
        <family val="1"/>
      </rPr>
      <t>1</t>
    </r>
  </si>
  <si>
    <r>
      <rPr>
        <sz val="14"/>
        <color theme="1"/>
        <rFont val="宋体"/>
        <family val="3"/>
        <charset val="134"/>
      </rPr>
      <t>细节题</t>
    </r>
  </si>
  <si>
    <r>
      <rPr>
        <sz val="14"/>
        <color theme="1"/>
        <rFont val="宋体"/>
        <family val="3"/>
        <charset val="134"/>
      </rPr>
      <t>选项偷换概念</t>
    </r>
  </si>
  <si>
    <r>
      <rPr>
        <sz val="14"/>
        <color theme="1"/>
        <rFont val="宋体"/>
        <family val="3"/>
        <charset val="134"/>
      </rPr>
      <t>没看清</t>
    </r>
    <r>
      <rPr>
        <sz val="14"/>
        <color theme="1"/>
        <rFont val="Times New Roman"/>
        <family val="1"/>
      </rPr>
      <t>B</t>
    </r>
    <r>
      <rPr>
        <sz val="14"/>
        <color theme="1"/>
        <rFont val="宋体"/>
        <family val="3"/>
        <charset val="134"/>
      </rPr>
      <t>里的副词，原文</t>
    </r>
    <r>
      <rPr>
        <sz val="14"/>
        <color theme="1"/>
        <rFont val="Times New Roman"/>
        <family val="1"/>
      </rPr>
      <t>partly</t>
    </r>
    <r>
      <rPr>
        <sz val="14"/>
        <color theme="1"/>
        <rFont val="宋体"/>
        <family val="3"/>
        <charset val="134"/>
      </rPr>
      <t>选项</t>
    </r>
    <r>
      <rPr>
        <sz val="14"/>
        <color theme="1"/>
        <rFont val="Times New Roman"/>
        <family val="1"/>
      </rPr>
      <t>always</t>
    </r>
  </si>
  <si>
    <r>
      <t xml:space="preserve">susceptible </t>
    </r>
    <r>
      <rPr>
        <sz val="14"/>
        <color theme="1"/>
        <rFont val="宋体"/>
        <family val="3"/>
        <charset val="134"/>
      </rPr>
      <t>易受影响的</t>
    </r>
  </si>
  <si>
    <r>
      <rPr>
        <sz val="14"/>
        <color theme="1"/>
        <rFont val="宋体"/>
        <family val="3"/>
        <charset val="134"/>
      </rPr>
      <t>待二刷</t>
    </r>
  </si>
  <si>
    <r>
      <rPr>
        <sz val="14"/>
        <color theme="1"/>
        <rFont val="宋体"/>
        <family val="3"/>
        <charset val="134"/>
      </rPr>
      <t>作者态度题</t>
    </r>
  </si>
  <si>
    <r>
      <rPr>
        <sz val="14"/>
        <color theme="1"/>
        <rFont val="宋体"/>
        <family val="3"/>
        <charset val="134"/>
      </rPr>
      <t>生词不认识</t>
    </r>
  </si>
  <si>
    <r>
      <rPr>
        <sz val="14"/>
        <color theme="1"/>
        <rFont val="宋体"/>
        <family val="3"/>
        <charset val="134"/>
      </rPr>
      <t>把反语当字面意思了</t>
    </r>
  </si>
  <si>
    <r>
      <t xml:space="preserve">cynical </t>
    </r>
    <r>
      <rPr>
        <sz val="14"/>
        <color theme="1"/>
        <rFont val="宋体"/>
        <family val="3"/>
        <charset val="134"/>
      </rPr>
      <t>愤世嫉俗的</t>
    </r>
  </si>
  <si>
    <r>
      <rPr>
        <sz val="14"/>
        <color theme="1"/>
        <rFont val="宋体"/>
        <family val="3"/>
        <charset val="134"/>
      </rPr>
      <t>推断题</t>
    </r>
  </si>
  <si>
    <r>
      <rPr>
        <sz val="14"/>
        <color theme="1"/>
        <rFont val="宋体"/>
        <family val="3"/>
        <charset val="134"/>
      </rPr>
      <t>过度推断</t>
    </r>
    <r>
      <rPr>
        <sz val="14"/>
        <color theme="1"/>
        <rFont val="Times New Roman"/>
        <family val="1"/>
      </rPr>
      <t>(</t>
    </r>
    <r>
      <rPr>
        <sz val="14"/>
        <color theme="1"/>
        <rFont val="宋体"/>
        <family val="3"/>
        <charset val="134"/>
      </rPr>
      <t>想太多</t>
    </r>
    <r>
      <rPr>
        <sz val="14"/>
        <color theme="1"/>
        <rFont val="Times New Roman"/>
        <family val="1"/>
      </rPr>
      <t>)</t>
    </r>
  </si>
  <si>
    <r>
      <rPr>
        <sz val="14"/>
        <color theme="1"/>
        <rFont val="宋体"/>
        <family val="3"/>
        <charset val="134"/>
      </rPr>
      <t>自己脑补了因果关系，原文根本没提</t>
    </r>
  </si>
  <si>
    <r>
      <rPr>
        <sz val="14"/>
        <color theme="1"/>
        <rFont val="宋体"/>
        <family val="3"/>
        <charset val="134"/>
      </rPr>
      <t>无</t>
    </r>
  </si>
  <si>
    <r>
      <rPr>
        <sz val="14"/>
        <color theme="1"/>
        <rFont val="宋体"/>
        <family val="3"/>
        <charset val="134"/>
      </rPr>
      <t>已掌握</t>
    </r>
  </si>
  <si>
    <r>
      <rPr>
        <sz val="14"/>
        <color theme="1"/>
        <rFont val="宋体"/>
        <family val="3"/>
        <charset val="134"/>
      </rPr>
      <t>不区分</t>
    </r>
  </si>
  <si>
    <r>
      <rPr>
        <sz val="14"/>
        <color theme="1"/>
        <rFont val="宋体"/>
        <family val="3"/>
        <charset val="134"/>
      </rPr>
      <t>把</t>
    </r>
    <r>
      <rPr>
        <sz val="14"/>
        <color theme="1"/>
        <rFont val="Times New Roman"/>
        <family val="1"/>
      </rPr>
      <t>training on the jobs</t>
    </r>
    <r>
      <rPr>
        <sz val="14"/>
        <color theme="1"/>
        <rFont val="宋体"/>
        <family val="3"/>
        <charset val="134"/>
      </rPr>
      <t>和</t>
    </r>
    <r>
      <rPr>
        <sz val="14"/>
        <color theme="1"/>
        <rFont val="Times New Roman"/>
        <family val="1"/>
      </rPr>
      <t>education</t>
    </r>
    <r>
      <rPr>
        <sz val="14"/>
        <color theme="1"/>
        <rFont val="宋体"/>
        <family val="3"/>
        <charset val="134"/>
      </rPr>
      <t xml:space="preserve">混为一谈
</t>
    </r>
    <r>
      <rPr>
        <sz val="14"/>
        <color theme="1"/>
        <rFont val="Times New Roman"/>
        <family val="1"/>
      </rPr>
      <t>C</t>
    </r>
    <r>
      <rPr>
        <sz val="14"/>
        <color theme="1"/>
        <rFont val="宋体"/>
        <family val="3"/>
        <charset val="134"/>
      </rPr>
      <t>项中</t>
    </r>
    <r>
      <rPr>
        <sz val="14"/>
        <color theme="1"/>
        <rFont val="Times New Roman"/>
        <family val="1"/>
      </rPr>
      <t xml:space="preserve">, better </t>
    </r>
    <r>
      <rPr>
        <sz val="14"/>
        <color theme="1"/>
        <rFont val="宋体"/>
        <family val="3"/>
        <charset val="134"/>
      </rPr>
      <t>没体现出来</t>
    </r>
    <r>
      <rPr>
        <sz val="14"/>
        <color theme="1"/>
        <rFont val="Times New Roman"/>
        <family val="1"/>
      </rPr>
      <t>,</t>
    </r>
    <r>
      <rPr>
        <sz val="14"/>
        <color theme="1"/>
        <rFont val="宋体"/>
        <family val="3"/>
        <charset val="134"/>
      </rPr>
      <t>不能选。</t>
    </r>
    <r>
      <rPr>
        <sz val="14"/>
        <color theme="1"/>
        <rFont val="Times New Roman"/>
        <family val="1"/>
      </rPr>
      <t xml:space="preserve">
</t>
    </r>
    <r>
      <rPr>
        <sz val="14"/>
        <color theme="1"/>
        <rFont val="宋体"/>
        <family val="3"/>
        <charset val="134"/>
      </rPr>
      <t>而</t>
    </r>
    <r>
      <rPr>
        <sz val="14"/>
        <color theme="1"/>
        <rFont val="Times New Roman"/>
        <family val="1"/>
      </rPr>
      <t>B</t>
    </r>
    <r>
      <rPr>
        <sz val="14"/>
        <color theme="1"/>
        <rFont val="宋体"/>
        <family val="3"/>
        <charset val="134"/>
      </rPr>
      <t>项的</t>
    </r>
    <r>
      <rPr>
        <sz val="14"/>
        <color theme="1"/>
        <rFont val="Times New Roman"/>
        <family val="1"/>
      </rPr>
      <t>more</t>
    </r>
    <r>
      <rPr>
        <sz val="14"/>
        <color theme="1"/>
        <rFont val="宋体"/>
        <family val="3"/>
        <charset val="134"/>
      </rPr>
      <t>体现在</t>
    </r>
    <r>
      <rPr>
        <sz val="14"/>
        <color theme="1"/>
        <rFont val="Times New Roman"/>
        <family val="1"/>
      </rPr>
      <t>global leader</t>
    </r>
    <phoneticPr fontId="2" type="noConversion"/>
  </si>
  <si>
    <t>理解错误</t>
    <phoneticPr fontId="2" type="noConversion"/>
  </si>
  <si>
    <r>
      <rPr>
        <sz val="14"/>
        <color theme="1"/>
        <rFont val="宋体"/>
        <family val="1"/>
        <charset val="134"/>
      </rPr>
      <t>文章所说</t>
    </r>
    <r>
      <rPr>
        <sz val="14"/>
        <color theme="1"/>
        <rFont val="Times New Roman"/>
        <family val="1"/>
      </rPr>
      <t>didn't have time</t>
    </r>
    <r>
      <rPr>
        <sz val="14"/>
        <color theme="1"/>
        <rFont val="宋体"/>
        <family val="1"/>
        <charset val="134"/>
      </rPr>
      <t>是指没有时间（没空）琢磨
除了获取食物之外的东西</t>
    </r>
    <r>
      <rPr>
        <sz val="14"/>
        <color theme="1"/>
        <rFont val="Times New Roman"/>
        <family val="1"/>
      </rPr>
      <t xml:space="preserve">, </t>
    </r>
    <r>
      <rPr>
        <sz val="14"/>
        <color theme="1"/>
        <rFont val="宋体"/>
        <family val="1"/>
        <charset val="134"/>
      </rPr>
      <t>而不是指真的一点时间都没有</t>
    </r>
    <r>
      <rPr>
        <sz val="14"/>
        <color theme="1"/>
        <rFont val="Times New Roman"/>
        <family val="1"/>
      </rPr>
      <t xml:space="preserve">, </t>
    </r>
    <r>
      <rPr>
        <sz val="14"/>
        <color theme="1"/>
        <rFont val="宋体"/>
        <family val="1"/>
        <charset val="134"/>
      </rPr>
      <t>故</t>
    </r>
    <r>
      <rPr>
        <sz val="14"/>
        <color theme="1"/>
        <rFont val="Times New Roman"/>
        <family val="1"/>
      </rPr>
      <t>A</t>
    </r>
    <r>
      <rPr>
        <sz val="14"/>
        <color theme="1"/>
        <rFont val="宋体"/>
        <family val="1"/>
        <charset val="134"/>
      </rPr>
      <t xml:space="preserve">项错误。
</t>
    </r>
    <r>
      <rPr>
        <sz val="14"/>
        <color theme="1"/>
        <rFont val="Times New Roman"/>
        <family val="1"/>
      </rPr>
      <t>C</t>
    </r>
    <r>
      <rPr>
        <sz val="14"/>
        <color theme="1"/>
        <rFont val="宋体"/>
        <family val="1"/>
        <charset val="134"/>
      </rPr>
      <t>项正确的原因是作者想表达温饱后才有教育的出现</t>
    </r>
    <r>
      <rPr>
        <sz val="14"/>
        <color theme="1"/>
        <rFont val="Times New Roman"/>
        <family val="1"/>
      </rPr>
      <t xml:space="preserve">, </t>
    </r>
    <r>
      <rPr>
        <sz val="14"/>
        <color theme="1"/>
        <rFont val="宋体"/>
        <family val="1"/>
        <charset val="134"/>
      </rPr>
      <t>为什么温饱？因为生产力的发展使得人们获取食物更高效了。因此选</t>
    </r>
    <r>
      <rPr>
        <sz val="14"/>
        <color theme="1"/>
        <rFont val="Times New Roman"/>
        <family val="1"/>
      </rPr>
      <t>C</t>
    </r>
    <r>
      <rPr>
        <sz val="14"/>
        <color theme="1"/>
        <rFont val="宋体"/>
        <family val="1"/>
        <charset val="134"/>
      </rPr>
      <t>。</t>
    </r>
    <phoneticPr fontId="2" type="noConversion"/>
  </si>
  <si>
    <t>D</t>
    <phoneticPr fontId="2" type="noConversion"/>
  </si>
  <si>
    <t>人物观点题</t>
  </si>
  <si>
    <t>文章提到了只能追溯一两位祖先信息。过度推断为不能
追溯远亲祖先信息,文章完全没提到, 误选A项。
D项正确的原因是文章首句就提到了关于精确度的问题, 为同义替换,第一句翻译错误,没看懂,而误将其排除。</t>
    <phoneticPr fontId="2" type="noConversion"/>
  </si>
  <si>
    <t>心急了,没理解好最后一段,
就随意了一个原词复现多,但意思不对的陷阱选项。</t>
    <phoneticPr fontId="2" type="noConversion"/>
  </si>
  <si>
    <t xml:space="preserve">文中提到的是这个东西可能申请了专利, 而且不受外界评估。
被我曲解为缺少专利的评估。低级错误了。这个选项应该要快速排除掉才对, 以后注意这种杂糅选项, 不要乱选。
A项正确的原因是文章提到这些测试使用的数据库没有系统性的收集数据,而是将不同研究项目的信息合并在一起考虑, 这可以合理地推测出数据收集是杂乱无章的。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</si>
</sst>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scheme val="minor"/>
    </font>
    <font>
      <b/>
      <sz val="11"/>
      <color rgb="FFFFFFFF"/>
      <name val="宋体"/>
      <family val="3"/>
      <charset val="134"/>
    </font>
    <font>
      <sz val="9"/>
      <name val="宋体"/>
      <family val="3"/>
      <charset val="134"/>
      <scheme val="minor"/>
    </font>
    <font>
      <sz val="11"/>
      <color theme="1"/>
      <name val="宋体"/>
      <family val="2"/>
      <scheme val="minor"/>
    </font>
    <font>
      <sz val="11"/>
      <color rgb="FFFF0000"/>
      <name val="宋体"/>
      <family val="2"/>
      <scheme val="minor"/>
    </font>
    <font>
      <sz val="14"/>
      <color theme="1"/>
      <name val="宋体"/>
      <family val="3"/>
      <charset val="134"/>
    </font>
    <font>
      <sz val="14"/>
      <color theme="1"/>
      <name val="Times New Roman"/>
      <family val="1"/>
    </font>
    <font>
      <b/>
      <sz val="14"/>
      <color rgb="FFFFFFFF"/>
      <name val="Times New Roman"/>
      <family val="1"/>
    </font>
    <font>
      <b/>
      <sz val="14"/>
      <color rgb="FFFFFFFF"/>
      <name val="宋体"/>
      <family val="3"/>
      <charset val="134"/>
    </font>
    <font>
      <sz val="14"/>
      <color theme="1"/>
      <name val="宋体"/>
      <family val="1"/>
      <charset val="134"/>
    </font>
  </fonts>
  <fills count="4">
    <fill>
      <patternFill patternType="none"/>
    </fill>
    <fill>
      <patternFill patternType="gray125"/>
    </fill>
    <fill>
      <patternFill patternType="solid">
        <fgColor rgb="FF4F81BD"/>
        <bgColor rgb="FF4F81BD"/>
      </patternFill>
    </fill>
    <fill>
      <patternFill patternType="solid">
        <fgColor theme="0" tint="-0.14999847407452621"/>
        <bgColor indexed="64"/>
      </patternFill>
    </fill>
  </fills>
  <borders count="1">
    <border>
      <left/>
      <right/>
      <top/>
      <bottom/>
      <diagonal/>
    </border>
  </borders>
  <cellStyleXfs count="2">
    <xf numFmtId="0" fontId="0" fillId="0" borderId="0"/>
    <xf numFmtId="9" fontId="3" fillId="0" borderId="0" applyFont="0" applyFill="0" applyBorder="0" applyAlignment="0" applyProtection="0">
      <alignment vertical="center"/>
    </xf>
  </cellStyleXfs>
  <cellXfs count="16">
    <xf numFmtId="0" fontId="0" fillId="0" borderId="0" xfId="0"/>
    <xf numFmtId="0" fontId="1" fillId="2" borderId="0" xfId="0" applyFont="1" applyFill="1" applyAlignment="1">
      <alignment horizontal="center" vertical="center"/>
    </xf>
    <xf numFmtId="9" fontId="0" fillId="0" borderId="0" xfId="0" applyNumberFormat="1"/>
    <xf numFmtId="58" fontId="0" fillId="0" borderId="0" xfId="0" applyNumberFormat="1"/>
    <xf numFmtId="14" fontId="0" fillId="0" borderId="0" xfId="0" applyNumberFormat="1"/>
    <xf numFmtId="0" fontId="4" fillId="3" borderId="0" xfId="0" applyFont="1" applyFill="1"/>
    <xf numFmtId="9" fontId="0" fillId="0" borderId="0" xfId="1" applyFont="1" applyAlignment="1"/>
    <xf numFmtId="49" fontId="6" fillId="0" borderId="0" xfId="0" applyNumberFormat="1" applyFont="1" applyAlignment="1">
      <alignment wrapText="1"/>
    </xf>
    <xf numFmtId="0" fontId="7" fillId="2" borderId="0" xfId="0" applyFont="1" applyFill="1" applyAlignment="1">
      <alignment horizontal="center" vertical="center"/>
    </xf>
    <xf numFmtId="0" fontId="6" fillId="0" borderId="0" xfId="0" applyFont="1"/>
    <xf numFmtId="0" fontId="9" fillId="0" borderId="0" xfId="0" applyFont="1"/>
    <xf numFmtId="0" fontId="9" fillId="0" borderId="0" xfId="0" applyFont="1" applyAlignment="1">
      <alignment wrapText="1"/>
    </xf>
    <xf numFmtId="49" fontId="7" fillId="2" borderId="0" xfId="0" applyNumberFormat="1" applyFont="1" applyFill="1" applyAlignment="1">
      <alignment horizontal="center" vertical="center"/>
    </xf>
    <xf numFmtId="49" fontId="6" fillId="0" borderId="0" xfId="0" applyNumberFormat="1" applyFont="1"/>
    <xf numFmtId="0" fontId="5" fillId="0" borderId="0" xfId="0" applyFont="1"/>
    <xf numFmtId="49" fontId="9" fillId="0" borderId="0" xfId="0" applyNumberFormat="1" applyFont="1" applyAlignment="1">
      <alignment wrapText="1"/>
    </xf>
  </cellXfs>
  <cellStyles count="2">
    <cellStyle name="百分比" xfId="1" builtinId="5"/>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zh-CN" altLang="en-US"/>
              <a:t>你的最弱题型占比</a:t>
            </a:r>
          </a:p>
        </c:rich>
      </c:tx>
      <c:overlay val="1"/>
    </c:title>
    <c:autoTitleDeleted val="0"/>
    <c:plotArea>
      <c:layout/>
      <c:pieChart>
        <c:varyColors val="1"/>
        <c:ser>
          <c:idx val="0"/>
          <c:order val="0"/>
          <c:tx>
            <c:strRef>
              <c:f>'3.自动数据分析图表'!$B$2</c:f>
              <c:strCache>
                <c:ptCount val="1"/>
                <c:pt idx="0">
                  <c:v>错误数量</c:v>
                </c:pt>
              </c:strCache>
            </c:strRef>
          </c:tx>
          <c:spPr>
            <a:ln>
              <a:prstDash val="solid"/>
            </a:ln>
          </c:spPr>
          <c:cat>
            <c:strRef>
              <c:f>'3.自动数据分析图表'!$A$3:$A$7</c:f>
              <c:strCache>
                <c:ptCount val="5"/>
                <c:pt idx="0">
                  <c:v>细节题</c:v>
                </c:pt>
                <c:pt idx="1">
                  <c:v>推断题</c:v>
                </c:pt>
                <c:pt idx="2">
                  <c:v>主旨大意题</c:v>
                </c:pt>
                <c:pt idx="3">
                  <c:v>作者态度题</c:v>
                </c:pt>
                <c:pt idx="4">
                  <c:v>词汇题</c:v>
                </c:pt>
              </c:strCache>
            </c:strRef>
          </c:cat>
          <c:val>
            <c:numRef>
              <c:f>'3.自动数据分析图表'!$B$3:$B$7</c:f>
              <c:numCache>
                <c:formatCode>General</c:formatCode>
                <c:ptCount val="5"/>
                <c:pt idx="0">
                  <c:v>5</c:v>
                </c:pt>
                <c:pt idx="1">
                  <c:v>8</c:v>
                </c:pt>
                <c:pt idx="2">
                  <c:v>3</c:v>
                </c:pt>
                <c:pt idx="3">
                  <c:v>2</c:v>
                </c:pt>
                <c:pt idx="4">
                  <c:v>1</c:v>
                </c:pt>
              </c:numCache>
            </c:numRef>
          </c:val>
          <c:extLst>
            <c:ext xmlns:c16="http://schemas.microsoft.com/office/drawing/2014/chart" uri="{C3380CC4-5D6E-409C-BE32-E72D297353CC}">
              <c16:uniqueId val="{00000000-B9A7-41B5-8309-0F605986A1CE}"/>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zh-CN" altLang="en-US"/>
              <a:t>你的核心死穴是什么？</a:t>
            </a:r>
          </a:p>
        </c:rich>
      </c:tx>
      <c:overlay val="1"/>
    </c:title>
    <c:autoTitleDeleted val="0"/>
    <c:plotArea>
      <c:layout/>
      <c:barChart>
        <c:barDir val="col"/>
        <c:grouping val="clustered"/>
        <c:varyColors val="1"/>
        <c:ser>
          <c:idx val="0"/>
          <c:order val="0"/>
          <c:tx>
            <c:strRef>
              <c:f>'3.自动数据分析图表'!$E$2</c:f>
              <c:strCache>
                <c:ptCount val="1"/>
                <c:pt idx="0">
                  <c:v>频次</c:v>
                </c:pt>
              </c:strCache>
            </c:strRef>
          </c:tx>
          <c:spPr>
            <a:ln>
              <a:prstDash val="solid"/>
            </a:ln>
          </c:spPr>
          <c:invertIfNegative val="1"/>
          <c:cat>
            <c:strRef>
              <c:f>'3.自动数据分析图表'!$D$3:$D$7</c:f>
              <c:strCache>
                <c:ptCount val="5"/>
                <c:pt idx="0">
                  <c:v>生词不认识</c:v>
                </c:pt>
                <c:pt idx="1">
                  <c:v>选项偷换概念</c:v>
                </c:pt>
                <c:pt idx="2">
                  <c:v>过度推断</c:v>
                </c:pt>
                <c:pt idx="3">
                  <c:v>定位找错</c:v>
                </c:pt>
                <c:pt idx="4">
                  <c:v>长难句切分错误</c:v>
                </c:pt>
              </c:strCache>
            </c:strRef>
          </c:cat>
          <c:val>
            <c:numRef>
              <c:f>'3.自动数据分析图表'!$E$3:$E$7</c:f>
              <c:numCache>
                <c:formatCode>General</c:formatCode>
                <c:ptCount val="5"/>
                <c:pt idx="0">
                  <c:v>6</c:v>
                </c:pt>
                <c:pt idx="1">
                  <c:v>5</c:v>
                </c:pt>
                <c:pt idx="2">
                  <c:v>4</c:v>
                </c:pt>
                <c:pt idx="3">
                  <c:v>2</c:v>
                </c:pt>
                <c:pt idx="4">
                  <c:v>2</c:v>
                </c:pt>
              </c:numCache>
            </c:numRef>
          </c:val>
          <c:extLst>
            <c:ext xmlns:c16="http://schemas.microsoft.com/office/drawing/2014/chart" uri="{C3380CC4-5D6E-409C-BE32-E72D297353CC}">
              <c16:uniqueId val="{00000000-2C29-488B-984D-3718918BB7C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0</xdr:rowOff>
    </xdr:from>
    <xdr:ext cx="5400000" cy="27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368300</xdr:colOff>
      <xdr:row>9</xdr:row>
      <xdr:rowOff>12700</xdr:rowOff>
    </xdr:from>
    <xdr:ext cx="5400000" cy="27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zoomScale="115" zoomScaleNormal="115" workbookViewId="0">
      <pane ySplit="1" topLeftCell="A2" activePane="bottomLeft" state="frozen"/>
      <selection pane="bottomLeft" activeCell="H17" sqref="H17"/>
    </sheetView>
  </sheetViews>
  <sheetFormatPr defaultRowHeight="14" x14ac:dyDescent="0.25"/>
  <cols>
    <col min="1" max="11" width="18" customWidth="1"/>
    <col min="12" max="12" width="24.54296875" customWidth="1"/>
  </cols>
  <sheetData>
    <row r="1" spans="1:12" x14ac:dyDescent="0.25">
      <c r="A1" s="1" t="s">
        <v>0</v>
      </c>
      <c r="B1" s="1" t="s">
        <v>35</v>
      </c>
      <c r="C1" s="1" t="s">
        <v>1</v>
      </c>
      <c r="D1" s="1" t="s">
        <v>2</v>
      </c>
      <c r="E1" s="1" t="s">
        <v>3</v>
      </c>
      <c r="F1" s="1" t="s">
        <v>4</v>
      </c>
      <c r="G1" s="1" t="s">
        <v>5</v>
      </c>
      <c r="H1" s="1" t="s">
        <v>6</v>
      </c>
      <c r="I1" s="1" t="s">
        <v>7</v>
      </c>
      <c r="J1" s="1" t="s">
        <v>8</v>
      </c>
      <c r="K1" s="1" t="s">
        <v>9</v>
      </c>
      <c r="L1" s="1" t="s">
        <v>10</v>
      </c>
    </row>
    <row r="2" spans="1:12" x14ac:dyDescent="0.25">
      <c r="A2" s="4">
        <v>46388</v>
      </c>
      <c r="B2" s="3" t="s">
        <v>36</v>
      </c>
      <c r="C2" t="s">
        <v>40</v>
      </c>
      <c r="D2" t="s">
        <v>38</v>
      </c>
      <c r="E2">
        <v>2</v>
      </c>
      <c r="F2">
        <v>1</v>
      </c>
      <c r="G2">
        <v>3</v>
      </c>
      <c r="H2">
        <v>1</v>
      </c>
      <c r="I2">
        <f>SUM(E2:H2)</f>
        <v>7</v>
      </c>
      <c r="J2" s="2">
        <v>0.65</v>
      </c>
      <c r="K2">
        <v>75</v>
      </c>
      <c r="L2" t="s">
        <v>12</v>
      </c>
    </row>
    <row r="3" spans="1:12" x14ac:dyDescent="0.25">
      <c r="A3" s="4">
        <v>46388</v>
      </c>
      <c r="B3" t="s">
        <v>37</v>
      </c>
      <c r="C3" t="s">
        <v>39</v>
      </c>
      <c r="D3" t="s">
        <v>38</v>
      </c>
      <c r="E3">
        <v>1</v>
      </c>
      <c r="F3">
        <v>0</v>
      </c>
      <c r="G3">
        <v>2</v>
      </c>
      <c r="H3">
        <v>1</v>
      </c>
      <c r="I3">
        <f>SUM(E3:H3)</f>
        <v>4</v>
      </c>
      <c r="J3" s="2">
        <v>0.8</v>
      </c>
      <c r="K3">
        <v>68</v>
      </c>
      <c r="L3" t="s">
        <v>13</v>
      </c>
    </row>
    <row r="4" spans="1:12" x14ac:dyDescent="0.25">
      <c r="A4" s="4">
        <v>46388</v>
      </c>
      <c r="B4" t="s">
        <v>36</v>
      </c>
      <c r="C4" t="s">
        <v>14</v>
      </c>
      <c r="D4" t="s">
        <v>11</v>
      </c>
      <c r="E4">
        <v>2</v>
      </c>
      <c r="F4">
        <v>2</v>
      </c>
      <c r="G4">
        <v>2</v>
      </c>
      <c r="H4">
        <v>2</v>
      </c>
      <c r="I4">
        <f>SUM(E4:H4)</f>
        <v>8</v>
      </c>
      <c r="J4" s="2">
        <v>0.6</v>
      </c>
      <c r="K4">
        <v>85</v>
      </c>
      <c r="L4" t="s">
        <v>15</v>
      </c>
    </row>
    <row r="5" spans="1:12" x14ac:dyDescent="0.25">
      <c r="A5" s="5"/>
      <c r="B5" s="5"/>
      <c r="C5" s="5"/>
      <c r="D5" s="5"/>
      <c r="E5" s="5"/>
      <c r="F5" s="5"/>
      <c r="G5" s="5"/>
      <c r="H5" s="5"/>
      <c r="I5" s="5"/>
      <c r="J5" s="5"/>
      <c r="K5" s="5"/>
      <c r="L5" s="5"/>
    </row>
    <row r="6" spans="1:12" x14ac:dyDescent="0.25">
      <c r="A6" s="4">
        <v>46152</v>
      </c>
      <c r="B6" t="s">
        <v>49</v>
      </c>
      <c r="C6" t="s">
        <v>48</v>
      </c>
      <c r="D6" t="s">
        <v>38</v>
      </c>
      <c r="E6">
        <v>0</v>
      </c>
      <c r="F6">
        <v>2</v>
      </c>
      <c r="G6">
        <v>2</v>
      </c>
      <c r="H6">
        <v>0</v>
      </c>
      <c r="I6">
        <f>SUM(E6:H6)</f>
        <v>4</v>
      </c>
      <c r="J6" s="6">
        <f>(20-I6)/20</f>
        <v>0.8</v>
      </c>
    </row>
  </sheetData>
  <phoneticPr fontId="2" type="noConversion"/>
  <conditionalFormatting sqref="J2:J100">
    <cfRule type="colorScale" priority="1">
      <colorScale>
        <cfvo type="num" val="0"/>
        <cfvo type="num" val="0.7"/>
        <cfvo type="num" val="1"/>
        <color rgb="FFF8696B"/>
        <color rgb="FFFFEB84"/>
        <color rgb="FF63BE7B"/>
      </colorScale>
    </cfRule>
  </conditionalFormatting>
  <conditionalFormatting sqref="K2:K100">
    <cfRule type="colorScale" priority="2">
      <colorScale>
        <cfvo type="num" val="50"/>
        <cfvo type="num" val="70"/>
        <cfvo type="num" val="90"/>
        <color rgb="FF63BE7B"/>
        <color rgb="FFFFEB84"/>
        <color rgb="FFF8696B"/>
      </colorScale>
    </cfRule>
  </conditionalFormatting>
  <dataValidations count="1">
    <dataValidation type="list" allowBlank="1" showInputMessage="1" showErrorMessage="1" sqref="B6:B1048576 B1:B4" xr:uid="{96D8628E-904F-4917-A1C0-177A92B0850A}">
      <formula1>"英语1, 英语2, 不区分"</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tabSelected="1" zoomScaleNormal="100" workbookViewId="0">
      <pane ySplit="1" topLeftCell="A2" activePane="bottomLeft" state="frozen"/>
      <selection pane="bottomLeft" activeCell="H12" sqref="H12"/>
    </sheetView>
  </sheetViews>
  <sheetFormatPr defaultRowHeight="18" x14ac:dyDescent="0.4"/>
  <cols>
    <col min="1" max="7" width="18" style="9" customWidth="1"/>
    <col min="8" max="8" width="31.81640625" style="9" customWidth="1"/>
    <col min="9" max="9" width="64.90625" style="13" customWidth="1"/>
    <col min="10" max="10" width="30" style="9" customWidth="1"/>
    <col min="11" max="12" width="18" style="9" customWidth="1"/>
    <col min="13" max="16384" width="8.7265625" style="9"/>
  </cols>
  <sheetData>
    <row r="1" spans="1:11" x14ac:dyDescent="0.4">
      <c r="A1" s="8" t="s">
        <v>52</v>
      </c>
      <c r="B1" s="8" t="s">
        <v>53</v>
      </c>
      <c r="C1" s="8" t="s">
        <v>54</v>
      </c>
      <c r="D1" s="8" t="s">
        <v>55</v>
      </c>
      <c r="E1" s="8" t="s">
        <v>56</v>
      </c>
      <c r="F1" s="8" t="s">
        <v>57</v>
      </c>
      <c r="G1" s="8" t="s">
        <v>58</v>
      </c>
      <c r="H1" s="8" t="s">
        <v>59</v>
      </c>
      <c r="I1" s="12" t="s">
        <v>60</v>
      </c>
      <c r="J1" s="8" t="s">
        <v>61</v>
      </c>
      <c r="K1" s="8" t="s">
        <v>62</v>
      </c>
    </row>
    <row r="2" spans="1:11" ht="18.5" x14ac:dyDescent="0.4">
      <c r="A2" s="9" t="s">
        <v>63</v>
      </c>
      <c r="B2" s="9">
        <v>2010</v>
      </c>
      <c r="C2" s="9" t="s">
        <v>44</v>
      </c>
      <c r="D2" s="9">
        <v>22</v>
      </c>
      <c r="E2" s="9" t="s">
        <v>17</v>
      </c>
      <c r="F2" s="9" t="s">
        <v>18</v>
      </c>
      <c r="G2" s="9" t="s">
        <v>64</v>
      </c>
      <c r="H2" s="9" t="s">
        <v>65</v>
      </c>
      <c r="I2" s="13" t="s">
        <v>66</v>
      </c>
      <c r="J2" s="9" t="s">
        <v>67</v>
      </c>
      <c r="K2" s="9" t="s">
        <v>68</v>
      </c>
    </row>
    <row r="3" spans="1:11" ht="18.5" x14ac:dyDescent="0.4">
      <c r="A3" s="9" t="s">
        <v>63</v>
      </c>
      <c r="B3" s="9">
        <v>2010</v>
      </c>
      <c r="C3" s="9" t="s">
        <v>45</v>
      </c>
      <c r="D3" s="9">
        <v>31</v>
      </c>
      <c r="E3" s="9" t="s">
        <v>21</v>
      </c>
      <c r="F3" s="9" t="s">
        <v>22</v>
      </c>
      <c r="G3" s="9" t="s">
        <v>69</v>
      </c>
      <c r="H3" s="9" t="s">
        <v>70</v>
      </c>
      <c r="I3" s="13" t="s">
        <v>71</v>
      </c>
      <c r="J3" s="9" t="s">
        <v>72</v>
      </c>
      <c r="K3" s="9" t="s">
        <v>68</v>
      </c>
    </row>
    <row r="4" spans="1:11" ht="18.5" x14ac:dyDescent="0.4">
      <c r="A4" s="9" t="s">
        <v>63</v>
      </c>
      <c r="B4" s="9">
        <v>2011</v>
      </c>
      <c r="C4" s="9" t="s">
        <v>46</v>
      </c>
      <c r="D4" s="9">
        <v>28</v>
      </c>
      <c r="E4" s="9" t="s">
        <v>47</v>
      </c>
      <c r="F4" s="9" t="s">
        <v>43</v>
      </c>
      <c r="G4" s="9" t="s">
        <v>73</v>
      </c>
      <c r="H4" s="9" t="s">
        <v>74</v>
      </c>
      <c r="I4" s="13" t="s">
        <v>75</v>
      </c>
      <c r="J4" s="9" t="s">
        <v>76</v>
      </c>
      <c r="K4" s="9" t="s">
        <v>77</v>
      </c>
    </row>
    <row r="6" spans="1:11" ht="51.5" customHeight="1" x14ac:dyDescent="0.4">
      <c r="A6" s="9" t="s">
        <v>78</v>
      </c>
      <c r="B6" s="9">
        <v>2009</v>
      </c>
      <c r="C6" s="9" t="s">
        <v>46</v>
      </c>
      <c r="D6" s="9">
        <v>33</v>
      </c>
      <c r="E6" s="9" t="s">
        <v>47</v>
      </c>
      <c r="F6" s="9" t="s">
        <v>51</v>
      </c>
      <c r="G6" s="9" t="s">
        <v>64</v>
      </c>
      <c r="H6" s="14" t="s">
        <v>50</v>
      </c>
      <c r="I6" s="7" t="s">
        <v>79</v>
      </c>
    </row>
    <row r="7" spans="1:11" ht="110" x14ac:dyDescent="0.4">
      <c r="A7" s="9" t="s">
        <v>49</v>
      </c>
      <c r="B7" s="9">
        <v>2009</v>
      </c>
      <c r="C7" s="9" t="s">
        <v>46</v>
      </c>
      <c r="D7" s="9">
        <v>34</v>
      </c>
      <c r="E7" s="9" t="s">
        <v>43</v>
      </c>
      <c r="F7" s="9" t="s">
        <v>47</v>
      </c>
      <c r="G7" s="9" t="s">
        <v>30</v>
      </c>
      <c r="H7" s="10" t="s">
        <v>80</v>
      </c>
      <c r="I7" s="7" t="s">
        <v>81</v>
      </c>
    </row>
    <row r="8" spans="1:11" ht="71" x14ac:dyDescent="0.4">
      <c r="A8" s="9" t="s">
        <v>49</v>
      </c>
      <c r="B8" s="9">
        <v>2009</v>
      </c>
      <c r="C8" s="9" t="s">
        <v>45</v>
      </c>
      <c r="D8" s="9">
        <v>28</v>
      </c>
      <c r="E8" s="9" t="s">
        <v>43</v>
      </c>
      <c r="F8" s="9" t="s">
        <v>82</v>
      </c>
      <c r="G8" s="9" t="s">
        <v>83</v>
      </c>
      <c r="H8" s="9" t="s">
        <v>25</v>
      </c>
      <c r="I8" s="15" t="s">
        <v>84</v>
      </c>
    </row>
    <row r="9" spans="1:11" ht="176" x14ac:dyDescent="0.4">
      <c r="A9" s="9" t="s">
        <v>49</v>
      </c>
      <c r="B9" s="9">
        <v>2009</v>
      </c>
      <c r="C9" s="9" t="s">
        <v>45</v>
      </c>
      <c r="D9" s="9">
        <v>29</v>
      </c>
      <c r="E9" s="9" t="s">
        <v>82</v>
      </c>
      <c r="F9" s="9" t="s">
        <v>43</v>
      </c>
      <c r="G9" s="9" t="s">
        <v>19</v>
      </c>
      <c r="H9" s="11" t="s">
        <v>85</v>
      </c>
      <c r="I9" s="15" t="s">
        <v>86</v>
      </c>
    </row>
  </sheetData>
  <dataConsolidate/>
  <phoneticPr fontId="2" type="noConversion"/>
  <dataValidations count="5">
    <dataValidation type="list" allowBlank="1" sqref="K2:K1000" xr:uid="{00000000-0002-0000-0100-000002000000}">
      <formula1>"待二刷,已掌握"</formula1>
    </dataValidation>
    <dataValidation type="list" allowBlank="1" showInputMessage="1" showErrorMessage="1" sqref="A1:A1048576" xr:uid="{7EB49F47-9594-4980-847C-A17327F01474}">
      <formula1>"英语1, 英语2, 不区分"</formula1>
    </dataValidation>
    <dataValidation type="list" allowBlank="1" showInputMessage="1" showErrorMessage="1" sqref="C1:C1048576" xr:uid="{67DE7AA9-943B-4498-BD7F-8FA4E8A193C5}">
      <formula1>"Text1, Text2, Text3, Text4"</formula1>
    </dataValidation>
    <dataValidation type="list" allowBlank="1" sqref="G2:G1048576" xr:uid="{5D651265-409A-48F9-B14D-C8B4ACD6A3A9}">
      <formula1>"细节题,推断题,主旨大意题,作者态度题, 人物观点题"</formula1>
    </dataValidation>
    <dataValidation type="list" allowBlank="1" sqref="H2:H1000" xr:uid="{00000000-0002-0000-0100-000001000000}">
      <formula1>"生词不认识,长难句切分错误,定位找错,过度推断(想太多),选项偷换概念/扩大范围,正反混淆,看错题干/粗心"</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election activeCell="F6" sqref="F6"/>
    </sheetView>
  </sheetViews>
  <sheetFormatPr defaultRowHeight="14" x14ac:dyDescent="0.25"/>
  <cols>
    <col min="4" max="4" width="19.7265625" customWidth="1"/>
    <col min="5" max="5" width="12.08984375" customWidth="1"/>
  </cols>
  <sheetData>
    <row r="1" spans="1:5" x14ac:dyDescent="0.25">
      <c r="A1" t="s">
        <v>26</v>
      </c>
      <c r="D1" t="s">
        <v>27</v>
      </c>
    </row>
    <row r="2" spans="1:5" x14ac:dyDescent="0.25">
      <c r="A2" t="s">
        <v>16</v>
      </c>
      <c r="B2" t="s">
        <v>42</v>
      </c>
      <c r="D2" t="s">
        <v>28</v>
      </c>
      <c r="E2" t="s">
        <v>29</v>
      </c>
    </row>
    <row r="3" spans="1:5" x14ac:dyDescent="0.25">
      <c r="A3" t="s">
        <v>19</v>
      </c>
      <c r="B3">
        <v>5</v>
      </c>
      <c r="D3" t="s">
        <v>24</v>
      </c>
      <c r="E3">
        <v>6</v>
      </c>
    </row>
    <row r="4" spans="1:5" x14ac:dyDescent="0.25">
      <c r="A4" t="s">
        <v>41</v>
      </c>
      <c r="B4">
        <v>8</v>
      </c>
      <c r="D4" t="s">
        <v>20</v>
      </c>
      <c r="E4">
        <v>5</v>
      </c>
    </row>
    <row r="5" spans="1:5" x14ac:dyDescent="0.25">
      <c r="A5" t="s">
        <v>30</v>
      </c>
      <c r="B5">
        <v>3</v>
      </c>
      <c r="D5" t="s">
        <v>31</v>
      </c>
      <c r="E5">
        <v>4</v>
      </c>
    </row>
    <row r="6" spans="1:5" x14ac:dyDescent="0.25">
      <c r="A6" t="s">
        <v>23</v>
      </c>
      <c r="B6">
        <v>2</v>
      </c>
      <c r="D6" t="s">
        <v>32</v>
      </c>
      <c r="E6">
        <v>2</v>
      </c>
    </row>
    <row r="7" spans="1:5" x14ac:dyDescent="0.25">
      <c r="A7" t="s">
        <v>33</v>
      </c>
      <c r="B7">
        <v>1</v>
      </c>
      <c r="D7" t="s">
        <v>34</v>
      </c>
      <c r="E7">
        <v>2</v>
      </c>
    </row>
  </sheetData>
  <phoneticPr fontId="2"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1.看板</vt:lpstr>
      <vt:lpstr>2.错题归因</vt:lpstr>
      <vt:lpstr>3.自动数据分析图表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 galaxy</cp:lastModifiedBy>
  <dcterms:created xsi:type="dcterms:W3CDTF">2026-05-10T14:03:54Z</dcterms:created>
  <dcterms:modified xsi:type="dcterms:W3CDTF">2026-05-10T15:19:05Z</dcterms:modified>
</cp:coreProperties>
</file>